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  <definedNames>
    <definedName name="_xlnm._FilterDatabase" localSheetId="0" hidden="1">'Sheet1'!A1:AQ6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  <numFmt numFmtId="176" formatCode="&quot;TRUE&quot;;&quot;TRUE&quot;;&quot;FALSE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02"/>
  <sheetViews>
    <sheetView workbookViewId="0" rightToLeft="0"/>
  </sheetViews>
  <sheetData>
    <row r="1">
      <c r="A1" t="str">
        <v>Correspondent Loan Number</v>
      </c>
      <c r="B1" t="str">
        <v>Income (Monthly)</v>
      </c>
      <c r="C1" t="str">
        <v>Loan Purpose</v>
      </c>
      <c r="D1" t="str">
        <v>Impound Type</v>
      </c>
      <c r="E1" t="str">
        <v>Loan Type</v>
      </c>
      <c r="F1" t="str">
        <v>Property Address</v>
      </c>
      <c r="G1" t="str">
        <v>Property City</v>
      </c>
      <c r="H1" t="str">
        <v>Property State</v>
      </c>
      <c r="I1" t="str">
        <v>Property Zip Code</v>
      </c>
      <c r="J1" t="str">
        <v>Borrower First Name</v>
      </c>
      <c r="K1" t="str">
        <v>Borrower Last Name</v>
      </c>
      <c r="L1" t="str">
        <v>FICO Score</v>
      </c>
      <c r="M1" t="str">
        <v>Original Loan Amount</v>
      </c>
      <c r="N1" t="str">
        <v>Base Loan Amount</v>
      </c>
      <c r="O1" t="str">
        <v>Loan Term</v>
      </c>
      <c r="P1" t="str">
        <v>Product Code</v>
      </c>
      <c r="Q1" t="str">
        <v>Occupancy Type</v>
      </c>
      <c r="R1" t="str">
        <v>Amortization Type</v>
      </c>
      <c r="S1" t="str">
        <v>Unpaid Principal Balance</v>
      </c>
      <c r="T1" t="str">
        <v>Appraised Value</v>
      </c>
      <c r="U1" t="str">
        <v>Sales Price</v>
      </c>
      <c r="V1" t="str">
        <v>Property Indicator</v>
      </c>
      <c r="W1" t="str">
        <v>Note Rate</v>
      </c>
      <c r="X1" t="str">
        <v>LTV</v>
      </c>
      <c r="Y1" t="str">
        <v>CLTV</v>
      </c>
      <c r="Z1" t="str">
        <v>FICO Score</v>
      </c>
      <c r="AA1" t="str">
        <v>Property Type</v>
      </c>
      <c r="AB1" t="str">
        <v>Units</v>
      </c>
      <c r="AC1" t="str">
        <v>Purpose of Refinance</v>
      </c>
      <c r="AD1" t="str">
        <v>Cash Out Amount</v>
      </c>
      <c r="AE1" t="str">
        <v>Subordinate Amount</v>
      </c>
      <c r="AF1" t="str">
        <v>FTHB Waiver</v>
      </c>
      <c r="AG1" t="str">
        <v>Doc Type</v>
      </c>
      <c r="AH1" t="str">
        <v>Interest Only</v>
      </c>
      <c r="AI1" t="str">
        <v>DTI</v>
      </c>
      <c r="AJ1" t="str">
        <v>Harp Indicator</v>
      </c>
      <c r="AK1" t="str">
        <v>High Balance Indicator</v>
      </c>
      <c r="AL1" t="str">
        <v>Underwriting System Code</v>
      </c>
      <c r="AM1" t="str">
        <v>Note Date</v>
      </c>
      <c r="AN1" t="str">
        <v>First Payment Date</v>
      </c>
      <c r="AO1" t="str">
        <v>Amortization Term</v>
      </c>
      <c r="AP1" t="str">
        <v>TPO</v>
      </c>
      <c r="AQ1" t="str">
        <v>Appraisal Waiver</v>
      </c>
    </row>
    <row r="2">
      <c r="A2" t="str">
        <v>TestSigma_03-04-2026_SC1_u1_393</v>
      </c>
      <c r="B2">
        <v>2001</v>
      </c>
      <c r="C2" t="str">
        <v>Refinance</v>
      </c>
      <c r="D2" t="str">
        <v>Ins only</v>
      </c>
      <c r="E2" t="str">
        <v>Conventional</v>
      </c>
      <c r="F2" t="str">
        <v>14435 Andover Birch Drive</v>
      </c>
      <c r="G2" t="str">
        <v>Rosharon</v>
      </c>
      <c r="H2" t="str">
        <v>TX</v>
      </c>
      <c r="I2">
        <v>77583</v>
      </c>
      <c r="J2" t="str">
        <v>FN_Deepika_JULY_16_10</v>
      </c>
      <c r="K2" t="str">
        <v>LN_Deepika_JULY_16_10</v>
      </c>
      <c r="L2">
        <v>794</v>
      </c>
      <c r="M2">
        <v>150020</v>
      </c>
      <c r="N2">
        <v>150010</v>
      </c>
      <c r="O2">
        <v>360</v>
      </c>
      <c r="P2" t="str">
        <v>214_25/30 Yr Freddie Mac Fixed</v>
      </c>
      <c r="Q2" t="str">
        <v>Second Home</v>
      </c>
      <c r="R2" t="str">
        <v>Fixed</v>
      </c>
      <c r="S2">
        <v>318750</v>
      </c>
      <c r="T2">
        <v>425000</v>
      </c>
      <c r="U2">
        <v>425000</v>
      </c>
      <c r="V2" t="str">
        <v>Attached</v>
      </c>
      <c r="W2">
        <v>6.5</v>
      </c>
      <c r="X2">
        <v>75</v>
      </c>
      <c r="Y2">
        <v>75</v>
      </c>
      <c r="Z2">
        <v>794</v>
      </c>
      <c r="AA2" t="str">
        <v>PUD</v>
      </c>
      <c r="AB2" t="str">
        <v>Condo &gt;4 Stories</v>
      </c>
      <c r="AE2">
        <v>0</v>
      </c>
      <c r="AF2" t="str">
        <v>Y</v>
      </c>
      <c r="AG2" t="str">
        <v>Full / Alt Doc</v>
      </c>
      <c r="AH2" t="str">
        <v>N</v>
      </c>
      <c r="AI2">
        <v>50</v>
      </c>
      <c r="AL2" t="str">
        <v>LP/LPI</v>
      </c>
      <c r="AM2">
        <v>44886</v>
      </c>
      <c r="AN2">
        <v>44562</v>
      </c>
      <c r="AP2" s="1" t="b">
        <f>TRUE()</f>
        <v>1</v>
      </c>
    </row>
    <row r="3">
      <c r="A3" t="str">
        <v>TestSigma_03-04-2026_SC1_7g_734</v>
      </c>
      <c r="B3">
        <v>2001</v>
      </c>
      <c r="C3" t="str">
        <v>Refinance</v>
      </c>
      <c r="D3" t="str">
        <v>Taxes only</v>
      </c>
      <c r="E3" t="str">
        <v>Conventional</v>
      </c>
      <c r="F3" t="str">
        <v>14436 Andover Birch Drive</v>
      </c>
      <c r="G3" t="str">
        <v>Rosharon</v>
      </c>
      <c r="H3" t="str">
        <v>TX</v>
      </c>
      <c r="I3">
        <v>77583</v>
      </c>
      <c r="J3" t="str">
        <v>FN_Deepika_JULY_16_11</v>
      </c>
      <c r="K3" t="str">
        <v>LN_Deepika_JULY_16_11</v>
      </c>
      <c r="L3">
        <v>794</v>
      </c>
      <c r="M3">
        <v>150021</v>
      </c>
      <c r="N3">
        <v>150011</v>
      </c>
      <c r="O3">
        <v>360</v>
      </c>
      <c r="P3" t="str">
        <v>214_25/30 Yr Freddie Mac Fixed</v>
      </c>
      <c r="Q3" t="str">
        <v>Second Home</v>
      </c>
      <c r="R3" t="str">
        <v>Fixed</v>
      </c>
      <c r="S3">
        <v>318750</v>
      </c>
      <c r="T3">
        <v>425000</v>
      </c>
      <c r="U3">
        <v>425000</v>
      </c>
      <c r="V3" t="str">
        <v>Attached</v>
      </c>
      <c r="W3">
        <v>6.5</v>
      </c>
      <c r="X3">
        <v>75</v>
      </c>
      <c r="Y3">
        <v>75</v>
      </c>
      <c r="Z3">
        <v>794</v>
      </c>
      <c r="AA3" t="str">
        <v>PUD</v>
      </c>
      <c r="AB3" t="str">
        <v>Condo &gt;4 Stories</v>
      </c>
      <c r="AE3">
        <v>0</v>
      </c>
      <c r="AF3" t="str">
        <v>Y</v>
      </c>
      <c r="AG3" t="str">
        <v>Full / Alt Doc</v>
      </c>
      <c r="AH3" t="str">
        <v>N</v>
      </c>
      <c r="AI3">
        <v>50</v>
      </c>
      <c r="AL3" t="str">
        <v>LP/LPI</v>
      </c>
      <c r="AM3">
        <v>44886</v>
      </c>
      <c r="AN3">
        <v>44562</v>
      </c>
      <c r="AP3" s="1" t="b">
        <f>FALSE()</f>
        <v>0</v>
      </c>
    </row>
    <row r="4">
      <c r="A4" t="str">
        <v>TestSigma_03-04-2026_SC1_ap_289</v>
      </c>
      <c r="B4">
        <v>2001</v>
      </c>
      <c r="C4" t="str">
        <v>Refinance</v>
      </c>
      <c r="D4" t="str">
        <v>Ins only</v>
      </c>
      <c r="E4" t="str">
        <v>Conventional</v>
      </c>
      <c r="F4" t="str">
        <v>14437 Andover Birch Drive</v>
      </c>
      <c r="G4" t="str">
        <v>Rosharon</v>
      </c>
      <c r="H4" t="str">
        <v>TX</v>
      </c>
      <c r="I4">
        <v>77583</v>
      </c>
      <c r="J4" t="str">
        <v>FN_Deepika_JULY_16_12</v>
      </c>
      <c r="K4" t="str">
        <v>LN_Deepika_JULY_16_12</v>
      </c>
      <c r="L4">
        <v>794</v>
      </c>
      <c r="M4">
        <v>150022</v>
      </c>
      <c r="N4">
        <v>150012</v>
      </c>
      <c r="O4">
        <v>360</v>
      </c>
      <c r="P4" t="str">
        <v>214_25/30 Yr Freddie Mac Fixed</v>
      </c>
      <c r="Q4" t="str">
        <v>Second Home</v>
      </c>
      <c r="R4" t="str">
        <v>Fixed</v>
      </c>
      <c r="S4">
        <v>318750</v>
      </c>
      <c r="T4">
        <v>425000</v>
      </c>
      <c r="U4">
        <v>425000</v>
      </c>
      <c r="V4" t="str">
        <v>Attached</v>
      </c>
      <c r="W4">
        <v>6.5</v>
      </c>
      <c r="X4">
        <v>75</v>
      </c>
      <c r="Y4">
        <v>75</v>
      </c>
      <c r="Z4">
        <v>794</v>
      </c>
      <c r="AA4" t="str">
        <v>PUD</v>
      </c>
      <c r="AB4" t="str">
        <v>Condo &gt;4 Stories</v>
      </c>
      <c r="AE4">
        <v>0</v>
      </c>
      <c r="AF4" t="str">
        <v>Y</v>
      </c>
      <c r="AG4" t="str">
        <v>Full / Alt Doc</v>
      </c>
      <c r="AH4" t="str">
        <v>N</v>
      </c>
      <c r="AI4">
        <v>50</v>
      </c>
      <c r="AL4" t="str">
        <v>LP/LPI</v>
      </c>
      <c r="AM4">
        <v>44886</v>
      </c>
      <c r="AN4">
        <v>44562</v>
      </c>
      <c r="AP4" t="str">
        <v>Y</v>
      </c>
    </row>
    <row r="5">
      <c r="A5" t="str">
        <v>TestSigma_03-04-2026_SC1_sd_242</v>
      </c>
      <c r="B5">
        <v>2001</v>
      </c>
      <c r="C5" t="str">
        <v>Refinance</v>
      </c>
      <c r="D5" t="str">
        <v>Ins only</v>
      </c>
      <c r="E5" t="str">
        <v>Conventional</v>
      </c>
      <c r="F5" t="str">
        <v>14437 Andover Birch Drive</v>
      </c>
      <c r="G5" t="str">
        <v>Rosharon</v>
      </c>
      <c r="H5" t="str">
        <v>TX</v>
      </c>
      <c r="I5">
        <v>77583</v>
      </c>
      <c r="J5" t="str">
        <v>FN_Deepika_JULY_16_13</v>
      </c>
      <c r="K5" t="str">
        <v>LN_Deepika_JULY_16_13</v>
      </c>
      <c r="L5">
        <v>794</v>
      </c>
      <c r="M5">
        <v>150023</v>
      </c>
      <c r="N5">
        <v>150013</v>
      </c>
      <c r="O5">
        <v>360</v>
      </c>
      <c r="P5" t="str">
        <v>214_25/30 Yr Freddie Mac Fixed</v>
      </c>
      <c r="Q5" t="str">
        <v>Second Home</v>
      </c>
      <c r="R5" t="str">
        <v>Fixed</v>
      </c>
      <c r="S5">
        <v>318750</v>
      </c>
      <c r="T5">
        <v>425000</v>
      </c>
      <c r="U5">
        <v>425000</v>
      </c>
      <c r="V5" t="str">
        <v>Attached</v>
      </c>
      <c r="W5">
        <v>6.5</v>
      </c>
      <c r="X5">
        <v>75</v>
      </c>
      <c r="Y5">
        <v>75</v>
      </c>
      <c r="Z5">
        <v>794</v>
      </c>
      <c r="AA5" t="str">
        <v>PUD</v>
      </c>
      <c r="AB5" t="str">
        <v>Condo &gt;4 Stories</v>
      </c>
      <c r="AE5">
        <v>0</v>
      </c>
      <c r="AF5" t="str">
        <v>Y</v>
      </c>
      <c r="AG5" t="str">
        <v>Full / Alt Doc</v>
      </c>
      <c r="AH5" t="str">
        <v>N</v>
      </c>
      <c r="AI5">
        <v>50</v>
      </c>
      <c r="AL5" t="str">
        <v>LP/LPI</v>
      </c>
      <c r="AM5">
        <v>44886</v>
      </c>
      <c r="AN5">
        <v>44562</v>
      </c>
      <c r="AP5" t="str">
        <v>N</v>
      </c>
    </row>
    <row r="6">
      <c r="A6" t="str">
        <v>TestSigma_03-04-2026_SC1_lu_923</v>
      </c>
      <c r="B6">
        <v>2001</v>
      </c>
      <c r="C6">
        <v>123</v>
      </c>
      <c r="D6" t="str">
        <v>Ins only</v>
      </c>
      <c r="E6" t="str">
        <v>Conventional</v>
      </c>
      <c r="F6" t="str">
        <v>14437 Andover Birch Drive</v>
      </c>
      <c r="G6" t="str">
        <v>Rosharon</v>
      </c>
      <c r="H6" t="str">
        <v>TX</v>
      </c>
      <c r="I6">
        <v>77583</v>
      </c>
      <c r="J6" t="str">
        <v>FN_Deepika_JULY_16_14</v>
      </c>
      <c r="K6" t="str">
        <v>LN_Deepika_JULY_16_14</v>
      </c>
      <c r="L6">
        <v>794</v>
      </c>
      <c r="M6">
        <v>150024</v>
      </c>
      <c r="N6">
        <v>150014</v>
      </c>
      <c r="O6">
        <v>360</v>
      </c>
      <c r="P6" t="str">
        <v>214_25/30 Yr Freddie Mac Fixed</v>
      </c>
      <c r="Q6" t="str">
        <v>Second Home</v>
      </c>
      <c r="R6" t="str">
        <v>Fixed</v>
      </c>
      <c r="S6">
        <v>318750</v>
      </c>
      <c r="T6">
        <v>425000</v>
      </c>
      <c r="U6">
        <v>425000</v>
      </c>
      <c r="V6" t="str">
        <v>Attached</v>
      </c>
      <c r="W6">
        <v>6.5</v>
      </c>
      <c r="X6">
        <v>75</v>
      </c>
      <c r="Y6">
        <v>75</v>
      </c>
      <c r="Z6">
        <v>794</v>
      </c>
      <c r="AA6" t="str">
        <v>PUD</v>
      </c>
      <c r="AB6" t="str">
        <v>Condo &gt;4 Stories</v>
      </c>
      <c r="AE6">
        <v>0</v>
      </c>
      <c r="AF6" t="str">
        <v>Y</v>
      </c>
      <c r="AG6" t="str">
        <v>Full / Alt Doc</v>
      </c>
      <c r="AH6" t="str">
        <v>N</v>
      </c>
      <c r="AI6">
        <v>50</v>
      </c>
      <c r="AL6" t="str">
        <v>LP/LPI</v>
      </c>
      <c r="AM6">
        <v>44886</v>
      </c>
      <c r="AN6">
        <v>44562</v>
      </c>
      <c r="AP6" t="str">
        <v>ABC</v>
      </c>
    </row>
    <row r="7">
      <c r="A7" t="str">
        <v>TestSigma_03-04-2026_SC1_b3_772</v>
      </c>
      <c r="B7">
        <v>2001</v>
      </c>
      <c r="C7" t="str">
        <v>Refinance</v>
      </c>
      <c r="D7" t="str">
        <v>Taxes only</v>
      </c>
      <c r="E7" t="str">
        <v>Conventional</v>
      </c>
      <c r="F7" t="str">
        <v>14436 Andover Birch Drive</v>
      </c>
      <c r="G7" t="str">
        <v>Rosharon</v>
      </c>
      <c r="H7" t="str">
        <v>TX</v>
      </c>
      <c r="I7">
        <v>77583</v>
      </c>
      <c r="J7" t="str">
        <v>FN_Deepika_JULY_16_15</v>
      </c>
      <c r="K7" t="str">
        <v>LN_Deepika_JULY_16_15</v>
      </c>
      <c r="L7">
        <v>794</v>
      </c>
      <c r="M7">
        <v>150025</v>
      </c>
      <c r="N7">
        <v>150015</v>
      </c>
      <c r="O7">
        <v>360</v>
      </c>
      <c r="P7" t="str">
        <v>214_25/30 Yr Freddie Mac Fixed</v>
      </c>
      <c r="Q7" t="str">
        <v>Second Home</v>
      </c>
      <c r="R7" t="str">
        <v>Fixed</v>
      </c>
      <c r="S7">
        <v>318750</v>
      </c>
      <c r="T7">
        <v>425000</v>
      </c>
      <c r="U7">
        <v>425000</v>
      </c>
      <c r="V7" t="str">
        <v>Attached</v>
      </c>
      <c r="W7">
        <v>6.5</v>
      </c>
      <c r="X7">
        <v>75</v>
      </c>
      <c r="Y7">
        <v>75</v>
      </c>
      <c r="Z7">
        <v>794</v>
      </c>
      <c r="AA7" t="str">
        <v>PUD</v>
      </c>
      <c r="AB7" t="str">
        <v>Condo &gt;4 Stories</v>
      </c>
      <c r="AE7">
        <v>0</v>
      </c>
      <c r="AF7" t="str">
        <v>Y</v>
      </c>
      <c r="AG7" t="str">
        <v>Full / Alt Doc</v>
      </c>
      <c r="AH7" t="str">
        <v>N</v>
      </c>
      <c r="AI7">
        <v>50</v>
      </c>
      <c r="AL7" t="str">
        <v>LP/LPI</v>
      </c>
      <c r="AM7">
        <v>44886</v>
      </c>
      <c r="AN7">
        <v>44562</v>
      </c>
      <c r="AP7" s="1" t="b">
        <f>FALSE()</f>
        <v>0</v>
      </c>
    </row>
    <row r="8">
      <c r="A8" t="str">
        <v xml:space="preserve"> </v>
      </c>
    </row>
  </sheetData>
  <autoFilter ref="A1:AQ6"/>
  <pageMargins left="0.7" right="0.7" top="0.75" bottom="0.75" header="0.511811023622047" footer="0.511811023622047"/>
  <ignoredErrors>
    <ignoredError numberStoredAsText="1" sqref="A1:AQ5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3:A503"/>
  <sheetViews>
    <sheetView workbookViewId="0" rightToLeft="0"/>
  </sheetViews>
  <sheetData/>
  <pageMargins left="0.7875" right="0.7875" top="1.05277777777778" bottom="1.05277777777778" header="0.7875" footer="0.7875"/>
  <ignoredErrors>
    <ignoredError numberStoredAsText="1" sqref="A3:A5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2022-09-07T18:11:00Z</dcterms:created>
  <dcterms:modified xsi:type="dcterms:W3CDTF">2025-10-27T19:00:55Z</dcterms:modified>
  <cp:lastModifiedBy>apple</cp:lastModifiedBy>
  <cp:revision>491</cp:revision>
  <dc:creator>Maxwell, Christy 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956FEEB6CAE3B140B173FF689F98E4BA_42</vt:lpwstr>
  </property>
  <property fmtid="{D5CDD505-2E9C-101B-9397-08002B2CF9AE}" pid="3" name="KSOProductBuildVer">
    <vt:lpwstr>1033-6.10.1.8203</vt:lpwstr>
  </property>
</Properties>
</file>