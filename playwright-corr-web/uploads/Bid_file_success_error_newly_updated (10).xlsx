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epika\Documents\playwright-corr-web\upload\"/>
    </mc:Choice>
  </mc:AlternateContent>
  <xr:revisionPtr revIDLastSave="0" documentId="13_ncr:1_{2076922F-981E-4588-B074-482BB70F67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Sheet1!A1:AQ1048570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2" i="1"/>
</calcChain>
</file>

<file path=xl/sharedStrings.xml><?xml version="1.0" encoding="utf-8"?>
<sst xmlns="http://schemas.openxmlformats.org/spreadsheetml/2006/main" count="81" uniqueCount="66">
  <si>
    <t>Correspondent Loan Number</t>
  </si>
  <si>
    <t>Income (Monthly)</t>
  </si>
  <si>
    <t>Loan Purpose</t>
  </si>
  <si>
    <t>Impound Type</t>
  </si>
  <si>
    <t>Loan Type</t>
  </si>
  <si>
    <t>Property Address</t>
  </si>
  <si>
    <t>Property City</t>
  </si>
  <si>
    <t>Property State</t>
  </si>
  <si>
    <t>Property Zip Code</t>
  </si>
  <si>
    <t>Borrower First Name</t>
  </si>
  <si>
    <t>Borrower Last Name</t>
  </si>
  <si>
    <t>FICO Score</t>
  </si>
  <si>
    <t>Original Loan Amount</t>
  </si>
  <si>
    <t>Base Loan Amount</t>
  </si>
  <si>
    <t>Loan Term</t>
  </si>
  <si>
    <t>Product Code</t>
  </si>
  <si>
    <t>Occupancy Type</t>
  </si>
  <si>
    <t>Amortization Type</t>
  </si>
  <si>
    <t>Unpaid Principal Balance</t>
  </si>
  <si>
    <t>Appraised Value</t>
  </si>
  <si>
    <t>Sales Price</t>
  </si>
  <si>
    <t>Property Indicator</t>
  </si>
  <si>
    <t>Note Rate</t>
  </si>
  <si>
    <t>LTV</t>
  </si>
  <si>
    <t>CLTV</t>
  </si>
  <si>
    <t>Property Type</t>
  </si>
  <si>
    <t>Units</t>
  </si>
  <si>
    <t>Purpose of Refinance</t>
  </si>
  <si>
    <t>Cash Out Amount</t>
  </si>
  <si>
    <t>Subordinate Amount</t>
  </si>
  <si>
    <t>FTHB Waiver</t>
  </si>
  <si>
    <t>Doc Type</t>
  </si>
  <si>
    <t>Interest Only</t>
  </si>
  <si>
    <t>DTI</t>
  </si>
  <si>
    <t>Harp Indicator</t>
  </si>
  <si>
    <t>High Balance Indicator</t>
  </si>
  <si>
    <t>Underwriting System Code</t>
  </si>
  <si>
    <t>Note Date</t>
  </si>
  <si>
    <t>First Payment Date</t>
  </si>
  <si>
    <t>Amortization Term</t>
  </si>
  <si>
    <t>TPO</t>
  </si>
  <si>
    <t>Appraisal Waiver</t>
  </si>
  <si>
    <t>TestSigma_17-02-2026_SC1_2P_149</t>
  </si>
  <si>
    <t>Refinance</t>
  </si>
  <si>
    <t>Ins only</t>
  </si>
  <si>
    <t>Conventional</t>
  </si>
  <si>
    <t>14435 Andover Birch Drive</t>
  </si>
  <si>
    <t>Rosharon</t>
  </si>
  <si>
    <t>TX</t>
  </si>
  <si>
    <t>FN_Deepika_JULY_16_10</t>
  </si>
  <si>
    <t>LN_Deepika_JULY_16_10</t>
  </si>
  <si>
    <t>214_25/30 Yr Freddie Mac Fixed</t>
  </si>
  <si>
    <t>Second Home</t>
  </si>
  <si>
    <t>Fixed</t>
  </si>
  <si>
    <t>Attached</t>
  </si>
  <si>
    <t>PUD</t>
  </si>
  <si>
    <t>Condo &gt;4 Stories</t>
  </si>
  <si>
    <t>Y</t>
  </si>
  <si>
    <t>Full / Alt Doc</t>
  </si>
  <si>
    <t>N</t>
  </si>
  <si>
    <t>LP/LPI</t>
  </si>
  <si>
    <t>TestSigma_17-02-2026_SC1_PU_936</t>
  </si>
  <si>
    <t>Taxes only</t>
  </si>
  <si>
    <t>14436 Andover Birch Drive</t>
  </si>
  <si>
    <t>FN_Deepika_JULY_16_11</t>
  </si>
  <si>
    <t>LN_Deepika_JULY_16_11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</si>
</sst>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TRUE&quot;;&quot;TRUE&quot;;&quot;FALSE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/>
  </sheetViews>
  <sheetFormatPr defaultRowHeight="14.5" x14ac:dyDescent="0.35"/>
  <cols>
    <col min="1" max="1" width="36.83203125" customWidth="1"/>
  </cols>
  <sheetData>
    <row r="1" spans="1:4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5.5" x14ac:dyDescent="0.35">
      <c r="A2" t="s">
        <v>42</v>
      </c>
      <c r="B2">
        <v>2001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77583</v>
      </c>
      <c r="J2" t="s">
        <v>49</v>
      </c>
      <c r="K2" t="s">
        <v>50</v>
      </c>
      <c r="L2">
        <v>794</v>
      </c>
      <c r="M2">
        <v>150022</v>
      </c>
      <c r="N2">
        <v>150010</v>
      </c>
      <c r="O2">
        <v>360</v>
      </c>
      <c r="P2" t="s">
        <v>51</v>
      </c>
      <c r="Q2" t="s">
        <v>52</v>
      </c>
      <c r="R2" t="s">
        <v>53</v>
      </c>
      <c r="S2">
        <v>318750</v>
      </c>
      <c r="T2">
        <v>425000</v>
      </c>
      <c r="U2">
        <v>425000</v>
      </c>
      <c r="V2" t="s">
        <v>54</v>
      </c>
      <c r="W2">
        <v>6.5</v>
      </c>
      <c r="X2">
        <v>75</v>
      </c>
      <c r="Y2">
        <v>75</v>
      </c>
      <c r="Z2">
        <v>794</v>
      </c>
      <c r="AA2" t="s">
        <v>55</v>
      </c>
      <c r="AB2" t="s">
        <v>56</v>
      </c>
      <c r="AE2">
        <v>0</v>
      </c>
      <c r="AF2" t="s">
        <v>57</v>
      </c>
      <c r="AG2" t="s">
        <v>58</v>
      </c>
      <c r="AH2" t="s">
        <v>59</v>
      </c>
      <c r="AI2">
        <v>50</v>
      </c>
      <c r="AL2" t="s">
        <v>60</v>
      </c>
      <c r="AM2">
        <v>44886</v>
      </c>
      <c r="AN2">
        <v>44562</v>
      </c>
      <c r="AP2" s="1" t="b">
        <f>TRUE()</f>
        <v>1</v>
      </c>
    </row>
    <row r="3" spans="1:43" ht="15.5" x14ac:dyDescent="0.35">
      <c r="A3" t="s">
        <v>61</v>
      </c>
      <c r="B3">
        <v>2001</v>
      </c>
      <c r="C3" t="s">
        <v>43</v>
      </c>
      <c r="D3" t="s">
        <v>62</v>
      </c>
      <c r="E3" t="s">
        <v>45</v>
      </c>
      <c r="F3" t="s">
        <v>63</v>
      </c>
      <c r="G3" t="s">
        <v>47</v>
      </c>
      <c r="H3" t="s">
        <v>48</v>
      </c>
      <c r="I3">
        <v>77583</v>
      </c>
      <c r="J3" t="s">
        <v>64</v>
      </c>
      <c r="K3" t="s">
        <v>65</v>
      </c>
      <c r="L3">
        <v>794</v>
      </c>
      <c r="M3">
        <v>150023</v>
      </c>
      <c r="N3">
        <v>150011</v>
      </c>
      <c r="O3">
        <v>360</v>
      </c>
      <c r="P3" t="s">
        <v>51</v>
      </c>
      <c r="Q3" t="s">
        <v>52</v>
      </c>
      <c r="R3" t="s">
        <v>53</v>
      </c>
      <c r="S3">
        <v>318750</v>
      </c>
      <c r="T3">
        <v>425000</v>
      </c>
      <c r="U3">
        <v>425000</v>
      </c>
      <c r="V3" t="s">
        <v>54</v>
      </c>
      <c r="W3">
        <v>6.5</v>
      </c>
      <c r="X3">
        <v>75</v>
      </c>
      <c r="Y3">
        <v>75</v>
      </c>
      <c r="Z3">
        <v>794</v>
      </c>
      <c r="AA3" t="s">
        <v>55</v>
      </c>
      <c r="AB3" t="s">
        <v>56</v>
      </c>
      <c r="AE3">
        <v>0</v>
      </c>
      <c r="AF3" t="s">
        <v>57</v>
      </c>
      <c r="AG3" t="s">
        <v>58</v>
      </c>
      <c r="AH3" t="s">
        <v>59</v>
      </c>
      <c r="AI3">
        <v>50</v>
      </c>
      <c r="AL3" t="s">
        <v>60</v>
      </c>
      <c r="AM3">
        <v>44886</v>
      </c>
      <c r="AN3">
        <v>44562</v>
      </c>
      <c r="AP3" s="1" t="b">
        <f>FALSE()</f>
        <v>0</v>
      </c>
    </row>
  </sheetData>
  <autoFilter ref="A1:AQ1048570" xr:uid="{00000000-0009-0000-0000-000000000000}"/>
  <pageMargins left="0.7" right="0.7" top="0.75" bottom="0.75" header="0.511811023622047" footer="0.511811023622047"/>
  <ignoredErrors>
    <ignoredError sqref="A1:AQ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8749999999999998" right="0.78749999999999998" top="1.05277777777778" bottom="1.05277777777778" header="0.78749999999999998" footer="0.78749999999999998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Maxwell, Christy A</dc:creator>
  <cp:lastModifiedBy>Deepika Dhar</cp:lastModifiedBy>
  <cp:revision>491</cp:revision>
  <dcterms:created xsi:type="dcterms:W3CDTF">2022-09-07T12:41:14Z</dcterms:created>
  <dcterms:modified xsi:type="dcterms:W3CDTF">2026-02-17T13:15:33Z</dcterms:modified>
  <dc:language>en-US</dc:language>
</cp:coreProperties>
</file>